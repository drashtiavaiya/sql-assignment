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hidePivotFieldList="1" autoCompressPictures="0"/>
  <xr:revisionPtr revIDLastSave="0" documentId="8_{189CCE1A-B021-4320-89A6-B9860688CB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  <sheet name="IPL practice data" sheetId="1" r:id="rId2"/>
  </sheets>
  <calcPr calcId="191028" refMode="R1C1" iterateCount="0" calcOnSave="0" concurrentCalc="0"/>
  <pivotCaches>
    <pivotCache cacheId="47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<sst xmlns="http://schemas.openxmlformats.org/spreadsheetml/2006/main" count="126" uniqueCount="48">
  <si>
    <t>Sum of wickets</t>
  </si>
  <si>
    <t>venue</t>
  </si>
  <si>
    <t>team</t>
  </si>
  <si>
    <t>M. A. Chidambaram Stadium</t>
  </si>
  <si>
    <t>M. Chinnaswamy Stadium</t>
  </si>
  <si>
    <t>Narendra Modi Stadium</t>
  </si>
  <si>
    <t>Wankhede Stadium</t>
  </si>
  <si>
    <t>Grand Total</t>
  </si>
  <si>
    <t>Chennai Super Kings</t>
  </si>
  <si>
    <t>Gujarat Titans</t>
  </si>
  <si>
    <t>Mumbai Indians</t>
  </si>
  <si>
    <t>Royal Challengers Bengaluru</t>
  </si>
  <si>
    <t>match_id</t>
  </si>
  <si>
    <t>player</t>
  </si>
  <si>
    <t>balls_faced</t>
  </si>
  <si>
    <t>runs_scored</t>
  </si>
  <si>
    <t>wickets</t>
  </si>
  <si>
    <t>match_result</t>
  </si>
  <si>
    <t>Measure</t>
  </si>
  <si>
    <t>runs scored</t>
  </si>
  <si>
    <t>A. Sharma</t>
  </si>
  <si>
    <t>Won</t>
  </si>
  <si>
    <t>mean</t>
  </si>
  <si>
    <t>R. Mehta</t>
  </si>
  <si>
    <t>median</t>
  </si>
  <si>
    <t>S. Iyer</t>
  </si>
  <si>
    <t>minimum</t>
  </si>
  <si>
    <t>V. Kohli</t>
  </si>
  <si>
    <t>Lost</t>
  </si>
  <si>
    <t>maximum</t>
  </si>
  <si>
    <t>F. du Plessis</t>
  </si>
  <si>
    <t>Standard deviation:</t>
  </si>
  <si>
    <t>M. Siraj</t>
  </si>
  <si>
    <t>high run threshold</t>
  </si>
  <si>
    <t>S. Gill</t>
  </si>
  <si>
    <t>low run</t>
  </si>
  <si>
    <t>S. Sudharsan</t>
  </si>
  <si>
    <t>R. Khan</t>
  </si>
  <si>
    <t>R. Gaikwad</t>
  </si>
  <si>
    <t>S. Dube</t>
  </si>
  <si>
    <t>R. Jadeja</t>
  </si>
  <si>
    <t>D. Conway</t>
  </si>
  <si>
    <t>M. Dhoni</t>
  </si>
  <si>
    <t>S. Yadav</t>
  </si>
  <si>
    <t>J. Bumrah</t>
  </si>
  <si>
    <t>R. Patidar</t>
  </si>
  <si>
    <t>G. Maxwell</t>
  </si>
  <si>
    <t>D.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</si>
</sst>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Aptos"/>
    </font>
    <font>
      <sz val="11"/>
      <name val="Aptos"/>
    </font>
    <font>
      <i/>
      <sz val="10"/>
      <color rgb="FF7F4F24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'IPL practice data'!$F$1</c:f>
              <c:strCache>
                <c:ptCount val="1"/>
                <c:pt idx="0">
                  <c:v>runs_scored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'IPL practice data'!$E$2:$E$25</c:f>
              <c:numCache>
                <c:formatCode>General</c:formatCode>
                <c:ptCount val="24"/>
                <c:pt idx="0">
                  <c:v>31</c:v>
                </c:pt>
                <c:pt idx="1">
                  <c:v>18</c:v>
                </c:pt>
                <c:pt idx="2">
                  <c:v>7</c:v>
                </c:pt>
                <c:pt idx="3">
                  <c:v>39</c:v>
                </c:pt>
                <c:pt idx="4">
                  <c:v>22</c:v>
                </c:pt>
                <c:pt idx="5">
                  <c:v>3</c:v>
                </c:pt>
                <c:pt idx="6">
                  <c:v>47</c:v>
                </c:pt>
                <c:pt idx="7">
                  <c:v>25</c:v>
                </c:pt>
                <c:pt idx="8">
                  <c:v>5</c:v>
                </c:pt>
                <c:pt idx="9">
                  <c:v>38</c:v>
                </c:pt>
                <c:pt idx="10">
                  <c:v>16</c:v>
                </c:pt>
                <c:pt idx="11">
                  <c:v>10</c:v>
                </c:pt>
                <c:pt idx="12">
                  <c:v>51</c:v>
                </c:pt>
                <c:pt idx="13">
                  <c:v>28</c:v>
                </c:pt>
                <c:pt idx="14">
                  <c:v>4</c:v>
                </c:pt>
                <c:pt idx="15">
                  <c:v>22</c:v>
                </c:pt>
                <c:pt idx="16">
                  <c:v>19</c:v>
                </c:pt>
                <c:pt idx="17">
                  <c:v>2</c:v>
                </c:pt>
                <c:pt idx="18">
                  <c:v>44</c:v>
                </c:pt>
                <c:pt idx="19">
                  <c:v>27</c:v>
                </c:pt>
                <c:pt idx="20">
                  <c:v>10</c:v>
                </c:pt>
                <c:pt idx="21">
                  <c:v>36</c:v>
                </c:pt>
                <c:pt idx="22">
                  <c:v>14</c:v>
                </c:pt>
                <c:pt idx="23">
                  <c:v>5</c:v>
                </c:pt>
              </c:numCache>
            </c:numRef>
          </c:xVal>
          <c:yVal>
            <c:numRef>
              <c:f>'IPL practice data'!$F$2:$F$25</c:f>
              <c:numCache>
                <c:formatCode>General</c:formatCode>
                <c:ptCount val="24"/>
                <c:pt idx="0">
                  <c:v>42</c:v>
                </c:pt>
                <c:pt idx="1">
                  <c:v>27</c:v>
                </c:pt>
                <c:pt idx="2">
                  <c:v>8</c:v>
                </c:pt>
                <c:pt idx="3">
                  <c:v>61</c:v>
                </c:pt>
                <c:pt idx="4">
                  <c:v>33</c:v>
                </c:pt>
                <c:pt idx="5">
                  <c:v>2</c:v>
                </c:pt>
                <c:pt idx="6">
                  <c:v>84</c:v>
                </c:pt>
                <c:pt idx="7">
                  <c:v>38</c:v>
                </c:pt>
                <c:pt idx="8">
                  <c:v>10</c:v>
                </c:pt>
                <c:pt idx="9">
                  <c:v>56</c:v>
                </c:pt>
                <c:pt idx="10">
                  <c:v>24</c:v>
                </c:pt>
                <c:pt idx="11">
                  <c:v>15</c:v>
                </c:pt>
                <c:pt idx="12">
                  <c:v>108</c:v>
                </c:pt>
                <c:pt idx="13">
                  <c:v>37</c:v>
                </c:pt>
                <c:pt idx="14">
                  <c:v>9</c:v>
                </c:pt>
                <c:pt idx="15">
                  <c:v>30</c:v>
                </c:pt>
                <c:pt idx="16">
                  <c:v>26</c:v>
                </c:pt>
                <c:pt idx="17">
                  <c:v>1</c:v>
                </c:pt>
                <c:pt idx="18">
                  <c:v>71</c:v>
                </c:pt>
                <c:pt idx="19">
                  <c:v>39</c:v>
                </c:pt>
                <c:pt idx="20">
                  <c:v>20</c:v>
                </c:pt>
                <c:pt idx="21">
                  <c:v>49</c:v>
                </c:pt>
                <c:pt idx="22">
                  <c:v>18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3-43F1-B9B7-E01C7B541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38983"/>
        <c:axId val="77441031"/>
      </c:scatterChart>
      <c:valAx>
        <c:axId val="77438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1031"/>
        <c:crosses val="autoZero"/>
        <c:crossBetween val="midCat"/>
      </c:valAx>
      <c:valAx>
        <c:axId val="77441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8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25</xdr:row>
      <xdr:rowOff>171450</xdr:rowOff>
    </xdr:from>
    <xdr:to>
      <xdr:col>3</xdr:col>
      <xdr:colOff>171450</xdr:colOff>
      <xdr:row>40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96DF5-CB05-B4ED-9EA6-2685AD7C0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0.985040046296" createdVersion="8" refreshedVersion="8" minRefreshableVersion="3" recordCount="24" xr:uid="{D647342A-F276-4F8F-A0D6-569D7E56D576}">
  <cacheSource type="worksheet">
    <worksheetSource ref="A1:H25" sheet="IPL practice data"/>
  </cacheSource>
  <cacheFields count="8">
    <cacheField name="match_id" numFmtId="0">
      <sharedItems containsSemiMixedTypes="0" containsString="0" containsNumber="1" containsInteger="1" minValue="1" maxValue="4"/>
    </cacheField>
    <cacheField name="player" numFmtId="0">
      <sharedItems/>
    </cacheField>
    <cacheField name="team" numFmtId="0">
      <sharedItems count="4">
        <s v="Mumbai Indians"/>
        <s v="Royal Challengers Bengaluru"/>
        <s v="Gujarat Titans"/>
        <s v="Chennai Super Kings"/>
      </sharedItems>
    </cacheField>
    <cacheField name="venue" numFmtId="0">
      <sharedItems count="4">
        <s v="Wankhede Stadium"/>
        <s v="Narendra Modi Stadium"/>
        <s v="M. A. Chidambaram Stadium"/>
        <s v="M. Chinnaswamy Stadium"/>
      </sharedItems>
    </cacheField>
    <cacheField name="balls_faced" numFmtId="0">
      <sharedItems containsSemiMixedTypes="0" containsString="0" containsNumber="1" containsInteger="1" minValue="2" maxValue="51"/>
    </cacheField>
    <cacheField name="runs_scored" numFmtId="0">
      <sharedItems containsSemiMixedTypes="0" containsString="0" containsNumber="1" containsInteger="1" minValue="1" maxValue="108"/>
    </cacheField>
    <cacheField name="wickets" numFmtId="0">
      <sharedItems containsSemiMixedTypes="0" containsString="0" containsNumber="1" containsInteger="1" minValue="0" maxValue="3"/>
    </cacheField>
    <cacheField name="match_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"/>
    <s v="A. Sharma"/>
    <x v="0"/>
    <x v="0"/>
    <n v="31"/>
    <n v="42"/>
    <n v="0"/>
    <s v="Won"/>
  </r>
  <r>
    <n v="1"/>
    <s v="R. Mehta"/>
    <x v="0"/>
    <x v="0"/>
    <n v="18"/>
    <n v="27"/>
    <n v="0"/>
    <s v="Won"/>
  </r>
  <r>
    <n v="1"/>
    <s v="S. Iyer"/>
    <x v="0"/>
    <x v="0"/>
    <n v="7"/>
    <n v="8"/>
    <n v="0"/>
    <s v="Won"/>
  </r>
  <r>
    <n v="1"/>
    <s v="V. Kohli"/>
    <x v="1"/>
    <x v="0"/>
    <n v="39"/>
    <n v="61"/>
    <n v="0"/>
    <s v="Lost"/>
  </r>
  <r>
    <n v="1"/>
    <s v="F. du Plessis"/>
    <x v="1"/>
    <x v="0"/>
    <n v="22"/>
    <n v="33"/>
    <n v="0"/>
    <s v="Lost"/>
  </r>
  <r>
    <n v="1"/>
    <s v="M. Siraj"/>
    <x v="1"/>
    <x v="0"/>
    <n v="3"/>
    <n v="2"/>
    <n v="2"/>
    <s v="Lost"/>
  </r>
  <r>
    <n v="2"/>
    <s v="S. Gill"/>
    <x v="2"/>
    <x v="1"/>
    <n v="47"/>
    <n v="84"/>
    <n v="0"/>
    <s v="Won"/>
  </r>
  <r>
    <n v="2"/>
    <s v="S. Sudharsan"/>
    <x v="2"/>
    <x v="1"/>
    <n v="25"/>
    <n v="38"/>
    <n v="0"/>
    <s v="Won"/>
  </r>
  <r>
    <n v="2"/>
    <s v="R. Khan"/>
    <x v="2"/>
    <x v="1"/>
    <n v="5"/>
    <n v="10"/>
    <n v="3"/>
    <s v="Won"/>
  </r>
  <r>
    <n v="2"/>
    <s v="R. Gaikwad"/>
    <x v="3"/>
    <x v="1"/>
    <n v="38"/>
    <n v="56"/>
    <n v="0"/>
    <s v="Lost"/>
  </r>
  <r>
    <n v="2"/>
    <s v="S. Dube"/>
    <x v="3"/>
    <x v="1"/>
    <n v="16"/>
    <n v="24"/>
    <n v="0"/>
    <s v="Lost"/>
  </r>
  <r>
    <n v="2"/>
    <s v="R. Jadeja"/>
    <x v="3"/>
    <x v="1"/>
    <n v="10"/>
    <n v="15"/>
    <n v="1"/>
    <s v="Lost"/>
  </r>
  <r>
    <n v="3"/>
    <s v="R. Gaikwad"/>
    <x v="3"/>
    <x v="2"/>
    <n v="51"/>
    <n v="108"/>
    <n v="0"/>
    <s v="Won"/>
  </r>
  <r>
    <n v="3"/>
    <s v="D. Conway"/>
    <x v="3"/>
    <x v="2"/>
    <n v="28"/>
    <n v="37"/>
    <n v="0"/>
    <s v="Won"/>
  </r>
  <r>
    <n v="3"/>
    <s v="M. Dhoni"/>
    <x v="3"/>
    <x v="2"/>
    <n v="4"/>
    <n v="9"/>
    <n v="0"/>
    <s v="Won"/>
  </r>
  <r>
    <n v="3"/>
    <s v="A. Sharma"/>
    <x v="0"/>
    <x v="2"/>
    <n v="22"/>
    <n v="30"/>
    <n v="0"/>
    <s v="Lost"/>
  </r>
  <r>
    <n v="3"/>
    <s v="S. Yadav"/>
    <x v="0"/>
    <x v="2"/>
    <n v="19"/>
    <n v="26"/>
    <n v="0"/>
    <s v="Lost"/>
  </r>
  <r>
    <n v="3"/>
    <s v="J. Bumrah"/>
    <x v="0"/>
    <x v="2"/>
    <n v="2"/>
    <n v="1"/>
    <n v="2"/>
    <s v="Lost"/>
  </r>
  <r>
    <n v="4"/>
    <s v="V. Kohli"/>
    <x v="1"/>
    <x v="3"/>
    <n v="44"/>
    <n v="71"/>
    <n v="0"/>
    <s v="Won"/>
  </r>
  <r>
    <n v="4"/>
    <s v="R. Patidar"/>
    <x v="1"/>
    <x v="3"/>
    <n v="27"/>
    <n v="39"/>
    <n v="0"/>
    <s v="Won"/>
  </r>
  <r>
    <n v="4"/>
    <s v="G. Maxwell"/>
    <x v="1"/>
    <x v="3"/>
    <n v="10"/>
    <n v="20"/>
    <n v="0"/>
    <s v="Won"/>
  </r>
  <r>
    <n v="4"/>
    <s v="S. Gill"/>
    <x v="2"/>
    <x v="3"/>
    <n v="36"/>
    <n v="49"/>
    <n v="0"/>
    <s v="Lost"/>
  </r>
  <r>
    <n v="4"/>
    <s v="D. Miller"/>
    <x v="2"/>
    <x v="3"/>
    <n v="14"/>
    <n v="18"/>
    <n v="0"/>
    <s v="Lost"/>
  </r>
  <r>
    <n v="4"/>
    <s v="R. Khan"/>
    <x v="2"/>
    <x v="3"/>
    <n v="5"/>
    <n v="6"/>
    <n v="2"/>
    <s v="Lo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FF62B-A6C0-4B05-A7D3-5C10E5BC328A}" name="PivotTable1" cacheId="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9" firstHeaderRow="1" firstDataRow="2" firstDataCol="1"/>
  <pivotFields count="8"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axis="axisCol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wicke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9BCE-25C1-48D6-A3EA-29B28DD65B01}">
  <dimension ref="A3:F9"/>
  <sheetViews>
    <sheetView tabSelected="1" topLeftCell="A2" workbookViewId="0">
      <selection activeCell="A3" sqref="A3"/>
    </sheetView>
  </sheetViews>
  <sheetFormatPr defaultRowHeight="14.25"/>
  <cols>
    <col min="1" max="1" width="25" bestFit="1" customWidth="1"/>
    <col min="2" max="2" width="26.875" bestFit="1" customWidth="1"/>
    <col min="3" max="3" width="24.25" bestFit="1" customWidth="1"/>
    <col min="4" max="4" width="22.625" bestFit="1" customWidth="1"/>
    <col min="5" max="5" width="18.5" bestFit="1" customWidth="1"/>
    <col min="6" max="6" width="11.375" bestFit="1" customWidth="1"/>
  </cols>
  <sheetData>
    <row r="3" spans="1:6">
      <c r="A3" s="4" t="s">
        <v>0</v>
      </c>
      <c r="B3" s="4" t="s">
        <v>1</v>
      </c>
    </row>
    <row r="4" spans="1:6">
      <c r="A4" s="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5">
        <v>0</v>
      </c>
      <c r="C5" s="5"/>
      <c r="D5" s="5">
        <v>1</v>
      </c>
      <c r="E5" s="5"/>
      <c r="F5" s="5">
        <v>1</v>
      </c>
    </row>
    <row r="6" spans="1:6">
      <c r="A6" t="s">
        <v>9</v>
      </c>
      <c r="B6" s="5"/>
      <c r="C6" s="5">
        <v>2</v>
      </c>
      <c r="D6" s="5">
        <v>3</v>
      </c>
      <c r="E6" s="5"/>
      <c r="F6" s="5">
        <v>5</v>
      </c>
    </row>
    <row r="7" spans="1:6">
      <c r="A7" t="s">
        <v>10</v>
      </c>
      <c r="B7" s="5">
        <v>2</v>
      </c>
      <c r="C7" s="5"/>
      <c r="D7" s="5"/>
      <c r="E7" s="5">
        <v>0</v>
      </c>
      <c r="F7" s="5">
        <v>2</v>
      </c>
    </row>
    <row r="8" spans="1:6">
      <c r="A8" t="s">
        <v>11</v>
      </c>
      <c r="B8" s="5"/>
      <c r="C8" s="5">
        <v>0</v>
      </c>
      <c r="D8" s="5"/>
      <c r="E8" s="5">
        <v>2</v>
      </c>
      <c r="F8" s="5">
        <v>2</v>
      </c>
    </row>
    <row r="9" spans="1:6">
      <c r="A9" t="s">
        <v>7</v>
      </c>
      <c r="B9" s="5">
        <v>2</v>
      </c>
      <c r="C9" s="5">
        <v>2</v>
      </c>
      <c r="D9" s="5">
        <v>4</v>
      </c>
      <c r="E9" s="5">
        <v>2</v>
      </c>
      <c r="F9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Normal="100" zoomScaleSheetLayoutView="100" workbookViewId="0">
      <selection sqref="A1:H25"/>
    </sheetView>
  </sheetViews>
  <sheetFormatPr defaultRowHeight="15"/>
  <cols>
    <col min="1" max="1" width="12" customWidth="1"/>
    <col min="2" max="2" width="18" customWidth="1"/>
    <col min="3" max="3" width="32" customWidth="1"/>
    <col min="4" max="4" width="33" customWidth="1"/>
    <col min="5" max="5" width="16" customWidth="1"/>
    <col min="6" max="6" width="17" customWidth="1"/>
    <col min="7" max="7" width="13" customWidth="1"/>
    <col min="8" max="8" width="17" customWidth="1"/>
    <col min="10" max="10" width="21" customWidth="1"/>
  </cols>
  <sheetData>
    <row r="1" spans="1:11">
      <c r="A1" s="1" t="s">
        <v>12</v>
      </c>
      <c r="B1" s="1" t="s">
        <v>13</v>
      </c>
      <c r="C1" s="1" t="s">
        <v>2</v>
      </c>
      <c r="D1" s="1" t="s">
        <v>1</v>
      </c>
      <c r="E1" s="1" t="s">
        <v>14</v>
      </c>
      <c r="F1" s="1" t="s">
        <v>15</v>
      </c>
      <c r="G1" s="1" t="s">
        <v>16</v>
      </c>
      <c r="H1" s="1" t="s">
        <v>17</v>
      </c>
      <c r="J1" t="s">
        <v>18</v>
      </c>
      <c r="K1" t="s">
        <v>19</v>
      </c>
    </row>
    <row r="2" spans="1:11">
      <c r="A2" s="2">
        <v>1</v>
      </c>
      <c r="B2" s="2" t="s">
        <v>20</v>
      </c>
      <c r="C2" s="2" t="s">
        <v>10</v>
      </c>
      <c r="D2" s="2" t="s">
        <v>6</v>
      </c>
      <c r="E2" s="2">
        <v>31</v>
      </c>
      <c r="F2" s="2">
        <v>42</v>
      </c>
      <c r="G2" s="2">
        <v>0</v>
      </c>
      <c r="H2" s="2" t="s">
        <v>21</v>
      </c>
      <c r="J2" t="s">
        <v>22</v>
      </c>
      <c r="K2">
        <f>AVERAGE(F2:F25)</f>
        <v>33.916666666666664</v>
      </c>
    </row>
    <row r="3" spans="1:11">
      <c r="A3" s="2">
        <v>1</v>
      </c>
      <c r="B3" s="2" t="s">
        <v>23</v>
      </c>
      <c r="C3" s="2" t="s">
        <v>10</v>
      </c>
      <c r="D3" s="2" t="s">
        <v>6</v>
      </c>
      <c r="E3" s="2">
        <v>18</v>
      </c>
      <c r="F3" s="2">
        <v>27</v>
      </c>
      <c r="G3" s="2">
        <v>0</v>
      </c>
      <c r="H3" s="2" t="s">
        <v>21</v>
      </c>
      <c r="J3" t="s">
        <v>24</v>
      </c>
      <c r="K3">
        <f>MEDIAN(F2:F25)</f>
        <v>28.5</v>
      </c>
    </row>
    <row r="4" spans="1:11">
      <c r="A4" s="2">
        <v>1</v>
      </c>
      <c r="B4" s="2" t="s">
        <v>25</v>
      </c>
      <c r="C4" s="2" t="s">
        <v>10</v>
      </c>
      <c r="D4" s="2" t="s">
        <v>6</v>
      </c>
      <c r="E4" s="2">
        <v>7</v>
      </c>
      <c r="F4" s="2">
        <v>8</v>
      </c>
      <c r="G4" s="2">
        <v>0</v>
      </c>
      <c r="H4" s="2" t="s">
        <v>21</v>
      </c>
      <c r="J4" t="s">
        <v>26</v>
      </c>
      <c r="K4">
        <f>MIN(F2:F25)</f>
        <v>1</v>
      </c>
    </row>
    <row r="5" spans="1:11">
      <c r="A5" s="2">
        <v>1</v>
      </c>
      <c r="B5" s="2" t="s">
        <v>27</v>
      </c>
      <c r="C5" s="2" t="s">
        <v>11</v>
      </c>
      <c r="D5" s="2" t="s">
        <v>6</v>
      </c>
      <c r="E5" s="2">
        <v>39</v>
      </c>
      <c r="F5" s="2">
        <v>61</v>
      </c>
      <c r="G5" s="2">
        <v>0</v>
      </c>
      <c r="H5" s="2" t="s">
        <v>28</v>
      </c>
      <c r="J5" t="s">
        <v>29</v>
      </c>
      <c r="K5">
        <f>MAX(F2:F25)</f>
        <v>108</v>
      </c>
    </row>
    <row r="6" spans="1:11">
      <c r="A6" s="2">
        <v>1</v>
      </c>
      <c r="B6" s="2" t="s">
        <v>30</v>
      </c>
      <c r="C6" s="2" t="s">
        <v>11</v>
      </c>
      <c r="D6" s="2" t="s">
        <v>6</v>
      </c>
      <c r="E6" s="2">
        <v>22</v>
      </c>
      <c r="F6" s="2">
        <v>33</v>
      </c>
      <c r="G6" s="2">
        <v>0</v>
      </c>
      <c r="H6" s="2" t="s">
        <v>28</v>
      </c>
      <c r="J6" t="s">
        <v>31</v>
      </c>
      <c r="K6">
        <f>_xlfn.STDEV.S(F2:F25)</f>
        <v>26.957158711501876</v>
      </c>
    </row>
    <row r="7" spans="1:11">
      <c r="A7" s="2">
        <v>1</v>
      </c>
      <c r="B7" s="2" t="s">
        <v>32</v>
      </c>
      <c r="C7" s="2" t="s">
        <v>11</v>
      </c>
      <c r="D7" s="2" t="s">
        <v>6</v>
      </c>
      <c r="E7" s="2">
        <v>3</v>
      </c>
      <c r="F7" s="2">
        <v>2</v>
      </c>
      <c r="G7" s="2">
        <v>2</v>
      </c>
      <c r="H7" s="2" t="s">
        <v>28</v>
      </c>
      <c r="J7" t="s">
        <v>33</v>
      </c>
      <c r="K7">
        <f>K2+K6</f>
        <v>60.87382537816854</v>
      </c>
    </row>
    <row r="8" spans="1:11">
      <c r="A8" s="2">
        <v>2</v>
      </c>
      <c r="B8" s="2" t="s">
        <v>34</v>
      </c>
      <c r="C8" s="2" t="s">
        <v>9</v>
      </c>
      <c r="D8" s="2" t="s">
        <v>5</v>
      </c>
      <c r="E8" s="2">
        <v>47</v>
      </c>
      <c r="F8" s="2">
        <v>84</v>
      </c>
      <c r="G8" s="2">
        <v>0</v>
      </c>
      <c r="H8" s="2" t="s">
        <v>21</v>
      </c>
      <c r="J8" t="s">
        <v>35</v>
      </c>
      <c r="K8">
        <f>K2-K6</f>
        <v>6.9595079551647885</v>
      </c>
    </row>
    <row r="9" spans="1:11">
      <c r="A9" s="2">
        <v>2</v>
      </c>
      <c r="B9" s="2" t="s">
        <v>36</v>
      </c>
      <c r="C9" s="2" t="s">
        <v>9</v>
      </c>
      <c r="D9" s="2" t="s">
        <v>5</v>
      </c>
      <c r="E9" s="2">
        <v>25</v>
      </c>
      <c r="F9" s="2">
        <v>38</v>
      </c>
      <c r="G9" s="2">
        <v>0</v>
      </c>
      <c r="H9" s="2" t="s">
        <v>21</v>
      </c>
    </row>
    <row r="10" spans="1:11">
      <c r="A10" s="2">
        <v>2</v>
      </c>
      <c r="B10" s="2" t="s">
        <v>37</v>
      </c>
      <c r="C10" s="2" t="s">
        <v>9</v>
      </c>
      <c r="D10" s="2" t="s">
        <v>5</v>
      </c>
      <c r="E10" s="2">
        <v>5</v>
      </c>
      <c r="F10" s="2">
        <v>10</v>
      </c>
      <c r="G10" s="2">
        <v>3</v>
      </c>
      <c r="H10" s="2" t="s">
        <v>21</v>
      </c>
    </row>
    <row r="11" spans="1:11">
      <c r="A11" s="2">
        <v>2</v>
      </c>
      <c r="B11" s="2" t="s">
        <v>38</v>
      </c>
      <c r="C11" s="2" t="s">
        <v>8</v>
      </c>
      <c r="D11" s="2" t="s">
        <v>5</v>
      </c>
      <c r="E11" s="2">
        <v>38</v>
      </c>
      <c r="F11" s="2">
        <v>56</v>
      </c>
      <c r="G11" s="2">
        <v>0</v>
      </c>
      <c r="H11" s="2" t="s">
        <v>28</v>
      </c>
    </row>
    <row r="12" spans="1:11">
      <c r="A12" s="2">
        <v>2</v>
      </c>
      <c r="B12" s="2" t="s">
        <v>39</v>
      </c>
      <c r="C12" s="2" t="s">
        <v>8</v>
      </c>
      <c r="D12" s="2" t="s">
        <v>5</v>
      </c>
      <c r="E12" s="2">
        <v>16</v>
      </c>
      <c r="F12" s="2">
        <v>24</v>
      </c>
      <c r="G12" s="2">
        <v>0</v>
      </c>
      <c r="H12" s="2" t="s">
        <v>28</v>
      </c>
    </row>
    <row r="13" spans="1:11">
      <c r="A13" s="2">
        <v>2</v>
      </c>
      <c r="B13" s="2" t="s">
        <v>40</v>
      </c>
      <c r="C13" s="2" t="s">
        <v>8</v>
      </c>
      <c r="D13" s="2" t="s">
        <v>5</v>
      </c>
      <c r="E13" s="2">
        <v>10</v>
      </c>
      <c r="F13" s="2">
        <v>15</v>
      </c>
      <c r="G13" s="2">
        <v>1</v>
      </c>
      <c r="H13" s="2" t="s">
        <v>28</v>
      </c>
    </row>
    <row r="14" spans="1:11">
      <c r="A14" s="2">
        <v>3</v>
      </c>
      <c r="B14" s="2" t="s">
        <v>38</v>
      </c>
      <c r="C14" s="2" t="s">
        <v>8</v>
      </c>
      <c r="D14" s="2" t="s">
        <v>3</v>
      </c>
      <c r="E14" s="2">
        <v>51</v>
      </c>
      <c r="F14" s="2">
        <v>108</v>
      </c>
      <c r="G14" s="2">
        <v>0</v>
      </c>
      <c r="H14" s="2" t="s">
        <v>21</v>
      </c>
    </row>
    <row r="15" spans="1:11">
      <c r="A15" s="2">
        <v>3</v>
      </c>
      <c r="B15" s="2" t="s">
        <v>41</v>
      </c>
      <c r="C15" s="2" t="s">
        <v>8</v>
      </c>
      <c r="D15" s="2" t="s">
        <v>3</v>
      </c>
      <c r="E15" s="2">
        <v>28</v>
      </c>
      <c r="F15" s="2">
        <v>37</v>
      </c>
      <c r="G15" s="2">
        <v>0</v>
      </c>
      <c r="H15" s="2" t="s">
        <v>21</v>
      </c>
    </row>
    <row r="16" spans="1:11">
      <c r="A16" s="2">
        <v>3</v>
      </c>
      <c r="B16" s="2" t="s">
        <v>42</v>
      </c>
      <c r="C16" s="2" t="s">
        <v>8</v>
      </c>
      <c r="D16" s="2" t="s">
        <v>3</v>
      </c>
      <c r="E16" s="2">
        <v>4</v>
      </c>
      <c r="F16" s="2">
        <v>9</v>
      </c>
      <c r="G16" s="2">
        <v>0</v>
      </c>
      <c r="H16" s="2" t="s">
        <v>21</v>
      </c>
    </row>
    <row r="17" spans="1:8">
      <c r="A17" s="2">
        <v>3</v>
      </c>
      <c r="B17" s="2" t="s">
        <v>20</v>
      </c>
      <c r="C17" s="2" t="s">
        <v>10</v>
      </c>
      <c r="D17" s="2" t="s">
        <v>3</v>
      </c>
      <c r="E17" s="2">
        <v>22</v>
      </c>
      <c r="F17" s="2">
        <v>30</v>
      </c>
      <c r="G17" s="2">
        <v>0</v>
      </c>
      <c r="H17" s="2" t="s">
        <v>28</v>
      </c>
    </row>
    <row r="18" spans="1:8">
      <c r="A18" s="2">
        <v>3</v>
      </c>
      <c r="B18" s="2" t="s">
        <v>43</v>
      </c>
      <c r="C18" s="2" t="s">
        <v>10</v>
      </c>
      <c r="D18" s="2" t="s">
        <v>3</v>
      </c>
      <c r="E18" s="2">
        <v>19</v>
      </c>
      <c r="F18" s="2">
        <v>26</v>
      </c>
      <c r="G18" s="2">
        <v>0</v>
      </c>
      <c r="H18" s="2" t="s">
        <v>28</v>
      </c>
    </row>
    <row r="19" spans="1:8">
      <c r="A19" s="2">
        <v>3</v>
      </c>
      <c r="B19" s="2" t="s">
        <v>44</v>
      </c>
      <c r="C19" s="2" t="s">
        <v>10</v>
      </c>
      <c r="D19" s="2" t="s">
        <v>3</v>
      </c>
      <c r="E19" s="2">
        <v>2</v>
      </c>
      <c r="F19" s="2">
        <v>1</v>
      </c>
      <c r="G19" s="2">
        <v>2</v>
      </c>
      <c r="H19" s="2" t="s">
        <v>28</v>
      </c>
    </row>
    <row r="20" spans="1:8">
      <c r="A20" s="2">
        <v>4</v>
      </c>
      <c r="B20" s="2" t="s">
        <v>27</v>
      </c>
      <c r="C20" s="2" t="s">
        <v>11</v>
      </c>
      <c r="D20" s="2" t="s">
        <v>4</v>
      </c>
      <c r="E20" s="2">
        <v>44</v>
      </c>
      <c r="F20" s="2">
        <v>71</v>
      </c>
      <c r="G20" s="2">
        <v>0</v>
      </c>
      <c r="H20" s="2" t="s">
        <v>21</v>
      </c>
    </row>
    <row r="21" spans="1:8">
      <c r="A21" s="2">
        <v>4</v>
      </c>
      <c r="B21" s="2" t="s">
        <v>45</v>
      </c>
      <c r="C21" s="2" t="s">
        <v>11</v>
      </c>
      <c r="D21" s="2" t="s">
        <v>4</v>
      </c>
      <c r="E21" s="2">
        <v>27</v>
      </c>
      <c r="F21" s="2">
        <v>39</v>
      </c>
      <c r="G21" s="2">
        <v>0</v>
      </c>
      <c r="H21" s="2" t="s">
        <v>21</v>
      </c>
    </row>
    <row r="22" spans="1:8">
      <c r="A22" s="2">
        <v>4</v>
      </c>
      <c r="B22" s="2" t="s">
        <v>46</v>
      </c>
      <c r="C22" s="2" t="s">
        <v>11</v>
      </c>
      <c r="D22" s="2" t="s">
        <v>4</v>
      </c>
      <c r="E22" s="2">
        <v>10</v>
      </c>
      <c r="F22" s="2">
        <v>20</v>
      </c>
      <c r="G22" s="2">
        <v>0</v>
      </c>
      <c r="H22" s="2" t="s">
        <v>21</v>
      </c>
    </row>
    <row r="23" spans="1:8">
      <c r="A23" s="2">
        <v>4</v>
      </c>
      <c r="B23" s="2" t="s">
        <v>34</v>
      </c>
      <c r="C23" s="2" t="s">
        <v>9</v>
      </c>
      <c r="D23" s="2" t="s">
        <v>4</v>
      </c>
      <c r="E23" s="2">
        <v>36</v>
      </c>
      <c r="F23" s="2">
        <v>49</v>
      </c>
      <c r="G23" s="2">
        <v>0</v>
      </c>
      <c r="H23" s="2" t="s">
        <v>28</v>
      </c>
    </row>
    <row r="24" spans="1:8">
      <c r="A24" s="2">
        <v>4</v>
      </c>
      <c r="B24" s="2" t="s">
        <v>47</v>
      </c>
      <c r="C24" s="2" t="s">
        <v>9</v>
      </c>
      <c r="D24" s="2" t="s">
        <v>4</v>
      </c>
      <c r="E24" s="2">
        <v>14</v>
      </c>
      <c r="F24" s="2">
        <v>18</v>
      </c>
      <c r="G24" s="2">
        <v>0</v>
      </c>
      <c r="H24" s="2" t="s">
        <v>28</v>
      </c>
    </row>
    <row r="25" spans="1:8">
      <c r="A25" s="2">
        <v>4</v>
      </c>
      <c r="B25" s="2" t="s">
        <v>37</v>
      </c>
      <c r="C25" s="2" t="s">
        <v>9</v>
      </c>
      <c r="D25" s="2" t="s">
        <v>4</v>
      </c>
      <c r="E25" s="2">
        <v>5</v>
      </c>
      <c r="F25" s="2">
        <v>6</v>
      </c>
      <c r="G25" s="2">
        <v>2</v>
      </c>
      <c r="H25" s="2" t="s">
        <v>28</v>
      </c>
    </row>
    <row r="27" spans="1:8">
      <c r="A27" s="3"/>
      <c r="B27" s="3"/>
      <c r="C27" s="3"/>
      <c r="D27" s="3"/>
      <c r="E27" s="3"/>
      <c r="F27" s="3"/>
      <c r="G27" s="3"/>
      <c r="H27" s="3"/>
    </row>
  </sheetData>
  <conditionalFormatting sqref="F2:F25">
    <cfRule type="cellIs" dxfId="1" priority="2" operator="greaterThan">
      <formula>60.87</formula>
    </cfRule>
  </conditionalFormatting>
  <conditionalFormatting sqref="F2:F25">
    <cfRule type="cellIs" dxfId="0" priority="1" operator="lessThan">
      <formula>6.96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2026-09-26T06:41:04Z</dcterms:created>
  <dcterms:modified xsi:type="dcterms:W3CDTF">2026-09-26T06:41:04Z</dcterms:modified>
  <cp:category/>
  <cp:contentStatus/>
</cp:coreProperties>
</file>